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&amp;L Projektion" sheetId="2" state="visible" r:id="rId4"/>
    <sheet name="Szenari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<sst xmlns="http://schemas.openxmlformats.org/spreadsheetml/2006/main" count="69" uniqueCount="66">
  <si>
    <t xml:space="preserve">ROBOFOLIO — Business Case Assumptions</t>
  </si>
  <si>
    <t xml:space="preserve">KOMMISSIONSMODELL</t>
  </si>
  <si>
    <t xml:space="preserve">Kommission pro Transaktion</t>
  </si>
  <si>
    <t xml:space="preserve">Ø Transaktionswert (Deal Size)</t>
  </si>
  <si>
    <t xml:space="preserve">Ø Kommission pro Deal</t>
  </si>
  <si>
    <t xml:space="preserve">MARKT &amp; WACHSTUM</t>
  </si>
  <si>
    <t xml:space="preserve">Adressierbarer Markt DE (KMU Hersteller)</t>
  </si>
  <si>
    <t xml:space="preserve">Davon automatisierungsbereit (TAM %)</t>
  </si>
  <si>
    <t xml:space="preserve">TAM (Anzahl Unternehmen)</t>
  </si>
  <si>
    <t xml:space="preserve">Conversion Rate (Lead → Deal)</t>
  </si>
  <si>
    <t xml:space="preserve">PLATTFORM-WACHSTUM (Deals/Monat)</t>
  </si>
  <si>
    <t xml:space="preserve">Jahr 1 — Deals/Monat (Start → Ende)</t>
  </si>
  <si>
    <t xml:space="preserve">Jahr 2 — Deals/Monat (Start → Ende)</t>
  </si>
  <si>
    <t xml:space="preserve">Jahr 3 — Deals/Monat (Start → Ende)</t>
  </si>
  <si>
    <t xml:space="preserve">Jahr 4 — Deals/Monat (Start → Ende)</t>
  </si>
  <si>
    <t xml:space="preserve">Jahr 5 — Deals/Monat (Start → Ende)</t>
  </si>
  <si>
    <t xml:space="preserve">KOSTEN</t>
  </si>
  <si>
    <t xml:space="preserve">Gründer-Gehälter (2 Personen, p.a.)</t>
  </si>
  <si>
    <t xml:space="preserve">Hosting &amp; Infrastruktur (p.a. Start)</t>
  </si>
  <si>
    <t xml:space="preserve">Anthropic API Kosten (p.a. Start)</t>
  </si>
  <si>
    <t xml:space="preserve">Marketing &amp; Vertrieb (p.a. Start)</t>
  </si>
  <si>
    <t xml:space="preserve">Rechts &amp; Buchhaltung (p.a.)</t>
  </si>
  <si>
    <t xml:space="preserve">Sonstige Kosten (p.a. Start)</t>
  </si>
  <si>
    <t xml:space="preserve">Kostenwachstum p.a. (Infrastruktur/API/Marketing)</t>
  </si>
  <si>
    <t xml:space="preserve">Jahr 1</t>
  </si>
  <si>
    <t xml:space="preserve">Jahr 2</t>
  </si>
  <si>
    <t xml:space="preserve">Jahr 3</t>
  </si>
  <si>
    <t xml:space="preserve">Jahr 4</t>
  </si>
  <si>
    <t xml:space="preserve">Jahr 5</t>
  </si>
  <si>
    <t xml:space="preserve">Gesamt</t>
  </si>
  <si>
    <t xml:space="preserve">UMSATZ (Revenue)</t>
  </si>
  <si>
    <t xml:space="preserve">Ø Deals/Monat</t>
  </si>
  <si>
    <t xml:space="preserve">Deals/Jahr</t>
  </si>
  <si>
    <t xml:space="preserve">Ø Transaktionswert</t>
  </si>
  <si>
    <t xml:space="preserve">Transaktionsvolumen (GMV)</t>
  </si>
  <si>
    <t xml:space="preserve">Kommissionssatz</t>
  </si>
  <si>
    <t xml:space="preserve">UMSATZ (Kommissionserlöse)</t>
  </si>
  <si>
    <t xml:space="preserve">KOSTEN (Expenses)</t>
  </si>
  <si>
    <t xml:space="preserve">Gründer-Gehälter</t>
  </si>
  <si>
    <t xml:space="preserve">Hosting &amp; Infrastruktur</t>
  </si>
  <si>
    <t xml:space="preserve">Anthropic API Kosten</t>
  </si>
  <si>
    <t xml:space="preserve">Marketing &amp; Vertrieb</t>
  </si>
  <si>
    <t xml:space="preserve">Rechts &amp; Buchhaltung</t>
  </si>
  <si>
    <t xml:space="preserve">Sonstige Kosten</t>
  </si>
  <si>
    <t xml:space="preserve">GESAMTKOSTEN</t>
  </si>
  <si>
    <t xml:space="preserve">ERGEBNIS (Profit)</t>
  </si>
  <si>
    <t xml:space="preserve">EBIT (Gewinn/Verlust)</t>
  </si>
  <si>
    <t xml:space="preserve">EBIT-Marge</t>
  </si>
  <si>
    <t xml:space="preserve">Kumulierter Gewinn/Verlust</t>
  </si>
  <si>
    <t xml:space="preserve">KEY METRICS</t>
  </si>
  <si>
    <t xml:space="preserve">Break-Even Deals/Monat</t>
  </si>
  <si>
    <t xml:space="preserve">Umsatz pro Monat (Ø)</t>
  </si>
  <si>
    <t xml:space="preserve">Conservative</t>
  </si>
  <si>
    <t xml:space="preserve">Base Case</t>
  </si>
  <si>
    <t xml:space="preserve">Optimistic</t>
  </si>
  <si>
    <t xml:space="preserve">ANNAHMEN</t>
  </si>
  <si>
    <t xml:space="preserve">Ø Deal Size</t>
  </si>
  <si>
    <t xml:space="preserve">Deals/Monat Jahr 5</t>
  </si>
  <si>
    <t xml:space="preserve">ERGEBNIS JAHR 5</t>
  </si>
  <si>
    <t xml:space="preserve">GMV (Transaktionsvolumen)</t>
  </si>
  <si>
    <t xml:space="preserve">Jahresumsatz (Kommissionen)</t>
  </si>
  <si>
    <t xml:space="preserve">Monatsumsatz (Ø)</t>
  </si>
  <si>
    <t xml:space="preserve">5-JAHRES KUMULIERT</t>
  </si>
  <si>
    <t xml:space="preserve">Geschätzte Deals gesamt (5J)</t>
  </si>
  <si>
    <t xml:space="preserve">Kumulierter GMV (5J)</t>
  </si>
  <si>
    <t xml:space="preserve">Kumulierter Umsatz (5J)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</si>
</sst>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&quot; €&quot;"/>
    <numFmt numFmtId="167" formatCode="#,##0"/>
    <numFmt numFmtId="168" formatCode="0.0"/>
    <numFmt numFmtId="169" formatCode="#,##0&quot; €&quot;;\(#,##0&quot; €)&quot;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2840"/>
      <name val="Arial"/>
      <family val="0"/>
      <charset val="1"/>
    </font>
    <font>
      <b val="true"/>
      <sz val="10"/>
      <color rgb="FF009DDB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B894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1"/>
      <color rgb="FF0A284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0"/>
        <bgColor rgb="FFFFFFFF"/>
      </patternFill>
    </fill>
    <fill>
      <patternFill patternType="solid">
        <fgColor rgb="FF0A2840"/>
        <bgColor rgb="FF00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9DDB"/>
      </bottom>
      <diagonal/>
    </border>
    <border diagonalUp="false" diagonalDown="false">
      <left/>
      <right/>
      <top/>
      <bottom style="thin">
        <color rgb="FFE6EAEE"/>
      </bottom>
      <diagonal/>
    </border>
    <border diagonalUp="false" diagonalDown="false">
      <left/>
      <right/>
      <top/>
      <bottom style="medium">
        <color rgb="FF0A28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DDB"/>
      <rgbColor rgb="FFC0C0C0"/>
      <rgbColor rgb="FF808080"/>
      <rgbColor rgb="FF9999FF"/>
      <rgbColor rgb="FF993366"/>
      <rgbColor rgb="FFFFFFF0"/>
      <rgbColor rgb="FFE6EA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00B894"/>
      <rgbColor rgb="FF99CC00"/>
      <rgbColor rgb="FFFFCC00"/>
      <rgbColor rgb="FFFF9900"/>
      <rgbColor rgb="FFFF6600"/>
      <rgbColor rgb="FF666699"/>
      <rgbColor rgb="FF969696"/>
      <rgbColor rgb="FF0A28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840"/>
    <pageSetUpPr fitToPage="false"/>
  </sheetPr>
  <dimension ref="A1:C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3"/>
      <c r="C3" s="3"/>
    </row>
    <row r="4" customFormat="false" ht="15" hidden="false" customHeight="false" outlineLevel="0" collapsed="false">
      <c r="A4" s="4" t="s">
        <v>2</v>
      </c>
      <c r="B4" s="5" t="n">
        <v>0.0375</v>
      </c>
    </row>
    <row r="5" customFormat="false" ht="15" hidden="false" customHeight="false" outlineLevel="0" collapsed="false">
      <c r="A5" s="4" t="s">
        <v>3</v>
      </c>
      <c r="B5" s="6" t="n">
        <v>75000</v>
      </c>
    </row>
    <row r="6" customFormat="false" ht="15" hidden="false" customHeight="false" outlineLevel="0" collapsed="false">
      <c r="A6" s="4" t="s">
        <v>4</v>
      </c>
      <c r="B6" s="7" t="n">
        <f aca="false">B4*B5</f>
        <v>2812.5</v>
      </c>
    </row>
    <row r="8" customFormat="false" ht="15" hidden="false" customHeight="false" outlineLevel="0" collapsed="false">
      <c r="A8" s="2" t="s">
        <v>5</v>
      </c>
      <c r="B8" s="3"/>
      <c r="C8" s="3"/>
    </row>
    <row r="9" customFormat="false" ht="15" hidden="false" customHeight="false" outlineLevel="0" collapsed="false">
      <c r="A9" s="4" t="s">
        <v>6</v>
      </c>
      <c r="B9" s="8" t="n">
        <v>50000</v>
      </c>
    </row>
    <row r="10" customFormat="false" ht="15" hidden="false" customHeight="false" outlineLevel="0" collapsed="false">
      <c r="A10" s="4" t="s">
        <v>7</v>
      </c>
      <c r="B10" s="5" t="n">
        <v>0.15</v>
      </c>
    </row>
    <row r="11" customFormat="false" ht="15" hidden="false" customHeight="false" outlineLevel="0" collapsed="false">
      <c r="A11" s="4" t="s">
        <v>8</v>
      </c>
      <c r="B11" s="9" t="n">
        <f aca="false">B9*B10</f>
        <v>7500</v>
      </c>
    </row>
    <row r="12" customFormat="false" ht="15" hidden="false" customHeight="false" outlineLevel="0" collapsed="false">
      <c r="A12" s="4" t="s">
        <v>9</v>
      </c>
      <c r="B12" s="5" t="n">
        <v>0.08</v>
      </c>
    </row>
    <row r="14" customFormat="false" ht="15" hidden="false" customHeight="false" outlineLevel="0" collapsed="false">
      <c r="A14" s="2" t="s">
        <v>10</v>
      </c>
      <c r="B14" s="3"/>
      <c r="C14" s="3"/>
    </row>
    <row r="15" customFormat="false" ht="15" hidden="false" customHeight="false" outlineLevel="0" collapsed="false">
      <c r="A15" s="4" t="s">
        <v>11</v>
      </c>
      <c r="B15" s="8" t="n">
        <v>2</v>
      </c>
      <c r="C15" s="8" t="n">
        <v>5</v>
      </c>
    </row>
    <row r="16" customFormat="false" ht="15" hidden="false" customHeight="false" outlineLevel="0" collapsed="false">
      <c r="A16" s="4" t="s">
        <v>12</v>
      </c>
      <c r="B16" s="8" t="n">
        <v>5</v>
      </c>
      <c r="C16" s="8" t="n">
        <v>12</v>
      </c>
    </row>
    <row r="17" customFormat="false" ht="15" hidden="false" customHeight="false" outlineLevel="0" collapsed="false">
      <c r="A17" s="4" t="s">
        <v>13</v>
      </c>
      <c r="B17" s="8" t="n">
        <v>12</v>
      </c>
      <c r="C17" s="8" t="n">
        <v>25</v>
      </c>
    </row>
    <row r="18" customFormat="false" ht="15" hidden="false" customHeight="false" outlineLevel="0" collapsed="false">
      <c r="A18" s="4" t="s">
        <v>14</v>
      </c>
      <c r="B18" s="8" t="n">
        <v>25</v>
      </c>
      <c r="C18" s="8" t="n">
        <v>40</v>
      </c>
    </row>
    <row r="19" customFormat="false" ht="15" hidden="false" customHeight="false" outlineLevel="0" collapsed="false">
      <c r="A19" s="4" t="s">
        <v>15</v>
      </c>
      <c r="B19" s="8" t="n">
        <v>40</v>
      </c>
      <c r="C19" s="8" t="n">
        <v>60</v>
      </c>
    </row>
    <row r="21" customFormat="false" ht="15" hidden="false" customHeight="false" outlineLevel="0" collapsed="false">
      <c r="A21" s="2" t="s">
        <v>16</v>
      </c>
      <c r="B21" s="3"/>
      <c r="C21" s="3"/>
    </row>
    <row r="22" customFormat="false" ht="15" hidden="false" customHeight="false" outlineLevel="0" collapsed="false">
      <c r="A22" s="4" t="s">
        <v>17</v>
      </c>
      <c r="B22" s="6" t="n">
        <v>0</v>
      </c>
    </row>
    <row r="23" customFormat="false" ht="15" hidden="false" customHeight="false" outlineLevel="0" collapsed="false">
      <c r="A23" s="4" t="s">
        <v>18</v>
      </c>
      <c r="B23" s="6" t="n">
        <v>3600</v>
      </c>
    </row>
    <row r="24" customFormat="false" ht="15" hidden="false" customHeight="false" outlineLevel="0" collapsed="false">
      <c r="A24" s="4" t="s">
        <v>19</v>
      </c>
      <c r="B24" s="6" t="n">
        <v>2400</v>
      </c>
    </row>
    <row r="25" customFormat="false" ht="15" hidden="false" customHeight="false" outlineLevel="0" collapsed="false">
      <c r="A25" s="4" t="s">
        <v>20</v>
      </c>
      <c r="B25" s="6" t="n">
        <v>12000</v>
      </c>
    </row>
    <row r="26" customFormat="false" ht="15" hidden="false" customHeight="false" outlineLevel="0" collapsed="false">
      <c r="A26" s="4" t="s">
        <v>21</v>
      </c>
      <c r="B26" s="6" t="n">
        <v>6000</v>
      </c>
    </row>
    <row r="27" customFormat="false" ht="15" hidden="false" customHeight="false" outlineLevel="0" collapsed="false">
      <c r="A27" s="4" t="s">
        <v>22</v>
      </c>
      <c r="B27" s="6" t="n">
        <v>3000</v>
      </c>
    </row>
    <row r="28" customFormat="false" ht="15" hidden="false" customHeight="false" outlineLevel="0" collapsed="false">
      <c r="A28" s="4" t="s">
        <v>23</v>
      </c>
      <c r="B28" s="5" t="n">
        <v>0.3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9DDB"/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10"/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</row>
    <row r="3" customFormat="false" ht="15" hidden="false" customHeight="false" outlineLevel="0" collapsed="false">
      <c r="A3" s="2" t="s">
        <v>30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31</v>
      </c>
      <c r="B4" s="11" t="n">
        <f aca="false">AVERAGE(Assumptions!B15,Assumptions!C15)</f>
        <v>3.5</v>
      </c>
      <c r="C4" s="11" t="n">
        <f aca="false">AVERAGE(Assumptions!B16,Assumptions!C16)</f>
        <v>8.5</v>
      </c>
      <c r="D4" s="11" t="n">
        <f aca="false">AVERAGE(Assumptions!B17,Assumptions!C17)</f>
        <v>18.5</v>
      </c>
      <c r="E4" s="11" t="n">
        <f aca="false">AVERAGE(Assumptions!B18,Assumptions!C18)</f>
        <v>32.5</v>
      </c>
      <c r="F4" s="11" t="n">
        <f aca="false">AVERAGE(Assumptions!B19,Assumptions!C19)</f>
        <v>50</v>
      </c>
    </row>
    <row r="5" customFormat="false" ht="15" hidden="false" customHeight="false" outlineLevel="0" collapsed="false">
      <c r="A5" s="4" t="s">
        <v>32</v>
      </c>
      <c r="B5" s="9" t="n">
        <f aca="false">B4*12</f>
        <v>42</v>
      </c>
      <c r="C5" s="9" t="n">
        <f aca="false">C4*12</f>
        <v>102</v>
      </c>
      <c r="D5" s="9" t="n">
        <f aca="false">D4*12</f>
        <v>222</v>
      </c>
      <c r="E5" s="9" t="n">
        <f aca="false">E4*12</f>
        <v>390</v>
      </c>
      <c r="F5" s="9" t="n">
        <f aca="false">F4*12</f>
        <v>600</v>
      </c>
      <c r="G5" s="12" t="n">
        <f aca="false">SUM(B5:F5)</f>
        <v>1356</v>
      </c>
    </row>
    <row r="6" customFormat="false" ht="15" hidden="false" customHeight="false" outlineLevel="0" collapsed="false">
      <c r="A6" s="4" t="s">
        <v>33</v>
      </c>
      <c r="B6" s="7" t="n">
        <f aca="false">Assumptions!B5</f>
        <v>75000</v>
      </c>
      <c r="C6" s="7" t="n">
        <f aca="false">Assumptions!B5</f>
        <v>75000</v>
      </c>
      <c r="D6" s="7" t="n">
        <f aca="false">Assumptions!B5</f>
        <v>75000</v>
      </c>
      <c r="E6" s="7" t="n">
        <f aca="false">Assumptions!B5</f>
        <v>75000</v>
      </c>
      <c r="F6" s="7" t="n">
        <f aca="false">Assumptions!B5</f>
        <v>75000</v>
      </c>
    </row>
    <row r="7" customFormat="false" ht="15" hidden="false" customHeight="false" outlineLevel="0" collapsed="false">
      <c r="A7" s="4" t="s">
        <v>34</v>
      </c>
      <c r="B7" s="7" t="n">
        <f aca="false">B5*B6</f>
        <v>3150000</v>
      </c>
      <c r="C7" s="7" t="n">
        <f aca="false">C5*C6</f>
        <v>7650000</v>
      </c>
      <c r="D7" s="7" t="n">
        <f aca="false">D5*D6</f>
        <v>16650000</v>
      </c>
      <c r="E7" s="7" t="n">
        <f aca="false">E5*E6</f>
        <v>29250000</v>
      </c>
      <c r="F7" s="7" t="n">
        <f aca="false">F5*F6</f>
        <v>45000000</v>
      </c>
      <c r="G7" s="13" t="n">
        <f aca="false">SUM(B7:F7)</f>
        <v>101700000</v>
      </c>
    </row>
    <row r="8" customFormat="false" ht="15" hidden="false" customHeight="false" outlineLevel="0" collapsed="false">
      <c r="A8" s="4" t="s">
        <v>35</v>
      </c>
      <c r="B8" s="14" t="n">
        <f aca="false">Assumptions!B4</f>
        <v>0.0375</v>
      </c>
      <c r="C8" s="14" t="n">
        <f aca="false">Assumptions!B4</f>
        <v>0.0375</v>
      </c>
      <c r="D8" s="14" t="n">
        <f aca="false">Assumptions!B4</f>
        <v>0.0375</v>
      </c>
      <c r="E8" s="14" t="n">
        <f aca="false">Assumptions!B4</f>
        <v>0.0375</v>
      </c>
      <c r="F8" s="14" t="n">
        <f aca="false">Assumptions!B4</f>
        <v>0.0375</v>
      </c>
    </row>
    <row r="9" customFormat="false" ht="15" hidden="false" customHeight="false" outlineLevel="0" collapsed="false">
      <c r="A9" s="15" t="s">
        <v>36</v>
      </c>
      <c r="B9" s="16" t="n">
        <f aca="false">B7*B8</f>
        <v>118125</v>
      </c>
      <c r="C9" s="16" t="n">
        <f aca="false">C7*C8</f>
        <v>286875</v>
      </c>
      <c r="D9" s="16" t="n">
        <f aca="false">D7*D8</f>
        <v>624375</v>
      </c>
      <c r="E9" s="16" t="n">
        <f aca="false">E7*E8</f>
        <v>1096875</v>
      </c>
      <c r="F9" s="16" t="n">
        <f aca="false">F7*F8</f>
        <v>1687500</v>
      </c>
      <c r="G9" s="16" t="n">
        <f aca="false">SUM(B9:F9)</f>
        <v>3813750</v>
      </c>
    </row>
    <row r="11" customFormat="false" ht="15" hidden="false" customHeight="false" outlineLevel="0" collapsed="false">
      <c r="A11" s="2" t="s">
        <v>37</v>
      </c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4" t="s">
        <v>38</v>
      </c>
      <c r="B12" s="7" t="n">
        <f aca="false">Assumptions!B22</f>
        <v>0</v>
      </c>
      <c r="C12" s="7" t="n">
        <f aca="false">Assumptions!B22</f>
        <v>0</v>
      </c>
      <c r="D12" s="7" t="n">
        <f aca="false">Assumptions!B22</f>
        <v>0</v>
      </c>
      <c r="E12" s="7" t="n">
        <f aca="false">Assumptions!B22</f>
        <v>0</v>
      </c>
      <c r="F12" s="7" t="n">
        <f aca="false">Assumptions!B22</f>
        <v>0</v>
      </c>
    </row>
    <row r="13" customFormat="false" ht="15" hidden="false" customHeight="false" outlineLevel="0" collapsed="false">
      <c r="A13" s="4" t="s">
        <v>39</v>
      </c>
      <c r="B13" s="7" t="n">
        <f aca="false">Assumptions!B23</f>
        <v>3600</v>
      </c>
      <c r="C13" s="7" t="n">
        <f aca="false">B13*(1+Assumptions!$B$28)</f>
        <v>4680</v>
      </c>
      <c r="D13" s="7" t="n">
        <f aca="false">C13*(1+Assumptions!$B$28)</f>
        <v>6084</v>
      </c>
      <c r="E13" s="7" t="n">
        <f aca="false">D13*(1+Assumptions!$B$28)</f>
        <v>7909.2</v>
      </c>
      <c r="F13" s="7" t="n">
        <f aca="false">E13*(1+Assumptions!$B$28)</f>
        <v>10281.96</v>
      </c>
    </row>
    <row r="14" customFormat="false" ht="15" hidden="false" customHeight="false" outlineLevel="0" collapsed="false">
      <c r="A14" s="4" t="s">
        <v>40</v>
      </c>
      <c r="B14" s="7" t="n">
        <f aca="false">Assumptions!B24</f>
        <v>2400</v>
      </c>
      <c r="C14" s="7" t="n">
        <f aca="false">B14*(1+Assumptions!$B$28)</f>
        <v>3120</v>
      </c>
      <c r="D14" s="7" t="n">
        <f aca="false">C14*(1+Assumptions!$B$28)</f>
        <v>4056</v>
      </c>
      <c r="E14" s="7" t="n">
        <f aca="false">D14*(1+Assumptions!$B$28)</f>
        <v>5272.8</v>
      </c>
      <c r="F14" s="7" t="n">
        <f aca="false">E14*(1+Assumptions!$B$28)</f>
        <v>6854.64</v>
      </c>
    </row>
    <row r="15" customFormat="false" ht="15" hidden="false" customHeight="false" outlineLevel="0" collapsed="false">
      <c r="A15" s="4" t="s">
        <v>41</v>
      </c>
      <c r="B15" s="7" t="n">
        <f aca="false">Assumptions!B25</f>
        <v>12000</v>
      </c>
      <c r="C15" s="7" t="n">
        <f aca="false">B15*(1+Assumptions!$B$28)</f>
        <v>15600</v>
      </c>
      <c r="D15" s="7" t="n">
        <f aca="false">C15*(1+Assumptions!$B$28)</f>
        <v>20280</v>
      </c>
      <c r="E15" s="7" t="n">
        <f aca="false">D15*(1+Assumptions!$B$28)</f>
        <v>26364</v>
      </c>
      <c r="F15" s="7" t="n">
        <f aca="false">E15*(1+Assumptions!$B$28)</f>
        <v>34273.2</v>
      </c>
    </row>
    <row r="16" customFormat="false" ht="15" hidden="false" customHeight="false" outlineLevel="0" collapsed="false">
      <c r="A16" s="4" t="s">
        <v>42</v>
      </c>
      <c r="B16" s="7" t="n">
        <f aca="false">Assumptions!B26</f>
        <v>6000</v>
      </c>
      <c r="C16" s="7" t="n">
        <f aca="false">Assumptions!B26</f>
        <v>6000</v>
      </c>
      <c r="D16" s="7" t="n">
        <f aca="false">Assumptions!B26</f>
        <v>6000</v>
      </c>
      <c r="E16" s="7" t="n">
        <f aca="false">Assumptions!B26</f>
        <v>6000</v>
      </c>
      <c r="F16" s="7" t="n">
        <f aca="false">Assumptions!B26</f>
        <v>6000</v>
      </c>
    </row>
    <row r="17" customFormat="false" ht="15" hidden="false" customHeight="false" outlineLevel="0" collapsed="false">
      <c r="A17" s="4" t="s">
        <v>43</v>
      </c>
      <c r="B17" s="7" t="n">
        <f aca="false">Assumptions!B27</f>
        <v>3000</v>
      </c>
      <c r="C17" s="7" t="n">
        <f aca="false">B17*(1+Assumptions!$B$28)</f>
        <v>3900</v>
      </c>
      <c r="D17" s="7" t="n">
        <f aca="false">C17*(1+Assumptions!$B$28)</f>
        <v>5070</v>
      </c>
      <c r="E17" s="7" t="n">
        <f aca="false">D17*(1+Assumptions!$B$28)</f>
        <v>6591</v>
      </c>
      <c r="F17" s="7" t="n">
        <f aca="false">E17*(1+Assumptions!$B$28)</f>
        <v>8568.3</v>
      </c>
    </row>
    <row r="18" customFormat="false" ht="15" hidden="false" customHeight="false" outlineLevel="0" collapsed="false">
      <c r="A18" s="15" t="s">
        <v>44</v>
      </c>
      <c r="B18" s="17" t="n">
        <f aca="false">SUM(B12:B17)</f>
        <v>27000</v>
      </c>
      <c r="C18" s="17" t="n">
        <f aca="false">SUM(C12:C17)</f>
        <v>33300</v>
      </c>
      <c r="D18" s="17" t="n">
        <f aca="false">SUM(D12:D17)</f>
        <v>41490</v>
      </c>
      <c r="E18" s="17" t="n">
        <f aca="false">SUM(E12:E17)</f>
        <v>52137</v>
      </c>
      <c r="F18" s="17" t="n">
        <f aca="false">SUM(F12:F17)</f>
        <v>65978.1</v>
      </c>
      <c r="G18" s="17" t="n">
        <f aca="false">SUM(B18:F18)</f>
        <v>219905.1</v>
      </c>
    </row>
    <row r="20" customFormat="false" ht="15" hidden="false" customHeight="false" outlineLevel="0" collapsed="false">
      <c r="A20" s="2" t="s">
        <v>45</v>
      </c>
      <c r="B20" s="3"/>
      <c r="C20" s="3"/>
      <c r="D20" s="3"/>
      <c r="E20" s="3"/>
      <c r="F20" s="3"/>
      <c r="G20" s="3"/>
    </row>
    <row r="21" customFormat="false" ht="15" hidden="false" customHeight="false" outlineLevel="0" collapsed="false">
      <c r="A21" s="4" t="s">
        <v>46</v>
      </c>
      <c r="B21" s="18" t="n">
        <f aca="false">B9-B18</f>
        <v>91125</v>
      </c>
      <c r="C21" s="18" t="n">
        <f aca="false">C9-C18</f>
        <v>253575</v>
      </c>
      <c r="D21" s="18" t="n">
        <f aca="false">D9-D18</f>
        <v>582885</v>
      </c>
      <c r="E21" s="18" t="n">
        <f aca="false">E9-E18</f>
        <v>1044738</v>
      </c>
      <c r="F21" s="18" t="n">
        <f aca="false">F9-F18</f>
        <v>1621521.9</v>
      </c>
      <c r="G21" s="18" t="n">
        <f aca="false">SUM(B21:F21)</f>
        <v>3593844.9</v>
      </c>
    </row>
    <row r="22" customFormat="false" ht="15" hidden="false" customHeight="false" outlineLevel="0" collapsed="false">
      <c r="A22" s="4" t="s">
        <v>47</v>
      </c>
      <c r="B22" s="14" t="n">
        <f aca="false">IF(B9=0,0,B21/B9)</f>
        <v>0.771428571428572</v>
      </c>
      <c r="C22" s="14" t="n">
        <f aca="false">IF(C9=0,0,C21/C9)</f>
        <v>0.883921568627451</v>
      </c>
      <c r="D22" s="14" t="n">
        <f aca="false">IF(D9=0,0,D21/D9)</f>
        <v>0.93354954954955</v>
      </c>
      <c r="E22" s="14" t="n">
        <f aca="false">IF(E9=0,0,E21/E9)</f>
        <v>0.952467692307692</v>
      </c>
      <c r="F22" s="14" t="n">
        <f aca="false">IF(F9=0,0,F21/F9)</f>
        <v>0.960901866666667</v>
      </c>
    </row>
    <row r="23" customFormat="false" ht="15" hidden="false" customHeight="false" outlineLevel="0" collapsed="false">
      <c r="A23" s="4" t="s">
        <v>48</v>
      </c>
      <c r="B23" s="19" t="n">
        <f aca="false">B21</f>
        <v>91125</v>
      </c>
      <c r="C23" s="19" t="n">
        <f aca="false">B23+C21</f>
        <v>344700</v>
      </c>
      <c r="D23" s="19" t="n">
        <f aca="false">C23+D21</f>
        <v>927585</v>
      </c>
      <c r="E23" s="19" t="n">
        <f aca="false">D23+E21</f>
        <v>1972323</v>
      </c>
      <c r="F23" s="19" t="n">
        <f aca="false">E23+F21</f>
        <v>3593844.9</v>
      </c>
    </row>
    <row r="25" customFormat="false" ht="15" hidden="false" customHeight="false" outlineLevel="0" collapsed="false">
      <c r="A25" s="2" t="s">
        <v>49</v>
      </c>
      <c r="B25" s="3"/>
      <c r="C25" s="3"/>
      <c r="D25" s="3"/>
      <c r="E25" s="3"/>
      <c r="F25" s="3"/>
      <c r="G25" s="3"/>
    </row>
    <row r="26" customFormat="false" ht="15" hidden="false" customHeight="false" outlineLevel="0" collapsed="false">
      <c r="A26" s="4" t="s">
        <v>4</v>
      </c>
      <c r="B26" s="7" t="n">
        <f aca="false">Assumptions!B6</f>
        <v>2812.5</v>
      </c>
      <c r="C26" s="7" t="n">
        <f aca="false">Assumptions!B6</f>
        <v>2812.5</v>
      </c>
      <c r="D26" s="7" t="n">
        <f aca="false">Assumptions!B6</f>
        <v>2812.5</v>
      </c>
      <c r="E26" s="7" t="n">
        <f aca="false">Assumptions!B6</f>
        <v>2812.5</v>
      </c>
      <c r="F26" s="7" t="n">
        <f aca="false">Assumptions!B6</f>
        <v>2812.5</v>
      </c>
    </row>
    <row r="27" customFormat="false" ht="15" hidden="false" customHeight="false" outlineLevel="0" collapsed="false">
      <c r="A27" s="4" t="s">
        <v>50</v>
      </c>
      <c r="B27" s="9" t="n">
        <f aca="false">IF(Assumptions!B6=0,0,ROUNDUP(B18/12/Assumptions!B6,0))</f>
        <v>1</v>
      </c>
      <c r="C27" s="9" t="n">
        <f aca="false">IF(Assumptions!B6=0,0,ROUNDUP(C18/12/Assumptions!B6,0))</f>
        <v>1</v>
      </c>
      <c r="D27" s="9" t="n">
        <f aca="false">IF(Assumptions!B6=0,0,ROUNDUP(D18/12/Assumptions!B6,0))</f>
        <v>2</v>
      </c>
      <c r="E27" s="9" t="n">
        <f aca="false">IF(Assumptions!B6=0,0,ROUNDUP(E18/12/Assumptions!B6,0))</f>
        <v>2</v>
      </c>
      <c r="F27" s="9" t="n">
        <f aca="false">IF(Assumptions!B6=0,0,ROUNDUP(F18/12/Assumptions!B6,0))</f>
        <v>2</v>
      </c>
    </row>
    <row r="28" customFormat="false" ht="15" hidden="false" customHeight="false" outlineLevel="0" collapsed="false">
      <c r="A28" s="4" t="s">
        <v>51</v>
      </c>
      <c r="B28" s="7" t="n">
        <f aca="false">B9/12</f>
        <v>9843.75</v>
      </c>
      <c r="C28" s="7" t="n">
        <f aca="false">C9/12</f>
        <v>23906.25</v>
      </c>
      <c r="D28" s="7" t="n">
        <f aca="false">D9/12</f>
        <v>52031.25</v>
      </c>
      <c r="E28" s="7" t="n">
        <f aca="false">E9/12</f>
        <v>91406.25</v>
      </c>
      <c r="F28" s="7" t="n">
        <f aca="false">F9/12</f>
        <v>140625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894"/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20"/>
  </cols>
  <sheetData>
    <row r="1" customFormat="false" ht="15" hidden="false" customHeight="false" outlineLevel="0" collapsed="false">
      <c r="A1" s="10"/>
      <c r="B1" s="10" t="s">
        <v>52</v>
      </c>
      <c r="C1" s="10" t="s">
        <v>53</v>
      </c>
      <c r="D1" s="10" t="s">
        <v>54</v>
      </c>
    </row>
    <row r="3" customFormat="false" ht="15" hidden="false" customHeight="false" outlineLevel="0" collapsed="false">
      <c r="A3" s="2" t="s">
        <v>55</v>
      </c>
      <c r="B3" s="3"/>
      <c r="C3" s="3"/>
      <c r="D3" s="3"/>
    </row>
    <row r="4" customFormat="false" ht="15" hidden="false" customHeight="false" outlineLevel="0" collapsed="false">
      <c r="A4" s="4" t="s">
        <v>56</v>
      </c>
      <c r="B4" s="6" t="n">
        <v>50000</v>
      </c>
      <c r="C4" s="6" t="n">
        <v>75000</v>
      </c>
      <c r="D4" s="6" t="n">
        <v>100000</v>
      </c>
    </row>
    <row r="5" customFormat="false" ht="15" hidden="false" customHeight="false" outlineLevel="0" collapsed="false">
      <c r="A5" s="4" t="s">
        <v>57</v>
      </c>
      <c r="B5" s="8" t="n">
        <v>35</v>
      </c>
      <c r="C5" s="8" t="n">
        <v>60</v>
      </c>
      <c r="D5" s="8" t="n">
        <v>90</v>
      </c>
    </row>
    <row r="6" customFormat="false" ht="15" hidden="false" customHeight="false" outlineLevel="0" collapsed="false">
      <c r="A6" s="4" t="s">
        <v>35</v>
      </c>
      <c r="B6" s="14" t="n">
        <v>0.0375</v>
      </c>
      <c r="C6" s="14" t="n">
        <v>0.0375</v>
      </c>
      <c r="D6" s="14" t="n">
        <v>0.0375</v>
      </c>
    </row>
    <row r="8" customFormat="false" ht="15" hidden="false" customHeight="false" outlineLevel="0" collapsed="false">
      <c r="A8" s="2" t="s">
        <v>58</v>
      </c>
      <c r="B8" s="3"/>
      <c r="C8" s="3"/>
      <c r="D8" s="3"/>
    </row>
    <row r="9" customFormat="false" ht="15" hidden="false" customHeight="false" outlineLevel="0" collapsed="false">
      <c r="A9" s="4" t="s">
        <v>32</v>
      </c>
      <c r="B9" s="9" t="n">
        <f aca="false">B5*12</f>
        <v>420</v>
      </c>
      <c r="C9" s="9" t="n">
        <f aca="false">C5*12</f>
        <v>720</v>
      </c>
      <c r="D9" s="9" t="n">
        <f aca="false">D5*12</f>
        <v>1080</v>
      </c>
    </row>
    <row r="10" customFormat="false" ht="15" hidden="false" customHeight="false" outlineLevel="0" collapsed="false">
      <c r="A10" s="4" t="s">
        <v>59</v>
      </c>
      <c r="B10" s="7" t="n">
        <f aca="false">B9*B4</f>
        <v>21000000</v>
      </c>
      <c r="C10" s="7" t="n">
        <f aca="false">C9*C4</f>
        <v>54000000</v>
      </c>
      <c r="D10" s="7" t="n">
        <f aca="false">D9*D4</f>
        <v>108000000</v>
      </c>
    </row>
    <row r="11" customFormat="false" ht="15" hidden="false" customHeight="false" outlineLevel="0" collapsed="false">
      <c r="A11" s="4" t="s">
        <v>60</v>
      </c>
      <c r="B11" s="20" t="n">
        <f aca="false">B10*B6</f>
        <v>787500</v>
      </c>
      <c r="C11" s="20" t="n">
        <f aca="false">C10*C6</f>
        <v>2025000</v>
      </c>
      <c r="D11" s="20" t="n">
        <f aca="false">D10*D6</f>
        <v>4050000</v>
      </c>
    </row>
    <row r="12" customFormat="false" ht="15" hidden="false" customHeight="false" outlineLevel="0" collapsed="false">
      <c r="A12" s="4" t="s">
        <v>61</v>
      </c>
      <c r="B12" s="7" t="n">
        <f aca="false">B11/12</f>
        <v>65625</v>
      </c>
      <c r="C12" s="7" t="n">
        <f aca="false">C11/12</f>
        <v>168750</v>
      </c>
      <c r="D12" s="7" t="n">
        <f aca="false">D11/12</f>
        <v>337500</v>
      </c>
    </row>
    <row r="14" customFormat="false" ht="15" hidden="false" customHeight="false" outlineLevel="0" collapsed="false">
      <c r="A14" s="2" t="s">
        <v>62</v>
      </c>
      <c r="B14" s="3"/>
      <c r="C14" s="3"/>
      <c r="D14" s="3"/>
    </row>
    <row r="15" customFormat="false" ht="15" hidden="false" customHeight="false" outlineLevel="0" collapsed="false">
      <c r="A15" s="4" t="s">
        <v>63</v>
      </c>
      <c r="B15" s="8" t="n">
        <v>90</v>
      </c>
      <c r="C15" s="8" t="n">
        <v>125</v>
      </c>
      <c r="D15" s="8" t="n">
        <v>175</v>
      </c>
    </row>
    <row r="16" customFormat="false" ht="15" hidden="false" customHeight="false" outlineLevel="0" collapsed="false">
      <c r="A16" s="4" t="s">
        <v>64</v>
      </c>
      <c r="B16" s="7" t="n">
        <f aca="false">B15*B4</f>
        <v>4500000</v>
      </c>
      <c r="C16" s="7" t="n">
        <f aca="false">C15*C4</f>
        <v>9375000</v>
      </c>
      <c r="D16" s="7" t="n">
        <f aca="false">D15*D4</f>
        <v>17500000</v>
      </c>
    </row>
    <row r="17" customFormat="false" ht="15" hidden="false" customHeight="false" outlineLevel="0" collapsed="false">
      <c r="A17" s="4" t="s">
        <v>65</v>
      </c>
      <c r="B17" s="21" t="n">
        <f aca="false">B16*B6</f>
        <v>168750</v>
      </c>
      <c r="C17" s="21" t="n">
        <f aca="false">C16*C6</f>
        <v>351562.5</v>
      </c>
      <c r="D17" s="21" t="n">
        <f aca="false">D16*D6</f>
        <v>656250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2026-03-25T12:09:38Z</dcterms:created>
  <dc:creator>openpyxl</dc:creator>
  <dc:description/>
  <dc:language>en-US</dc:language>
  <cp:lastModifiedBy/>
  <dcterms:modified xsi:type="dcterms:W3CDTF">2026-03-25T12:09:38Z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